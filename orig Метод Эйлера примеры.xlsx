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 activeTab="1"/>
  </bookViews>
  <sheets>
    <sheet name="Метод Эйлера" sheetId="1" r:id="rId1"/>
    <sheet name="2 пример Барон" sheetId="2" r:id="rId2"/>
    <sheet name="2 пример+уточнён мет" sheetId="4" r:id="rId3"/>
    <sheet name="Рунге-Кутты" sheetId="3" r:id="rId4"/>
  </sheets>
  <calcPr calcId="125725"/>
</workbook>
</file>

<file path=xl/calcChain.xml><?xml version="1.0" encoding="utf-8"?>
<calcChain xmlns="http://schemas.openxmlformats.org/spreadsheetml/2006/main">
  <c r="C3" i="2"/>
  <c r="E4" i="4"/>
  <c r="E3" i="1"/>
  <c r="D3"/>
  <c r="C3"/>
  <c r="E4"/>
  <c r="F3" i="3"/>
  <c r="B3" i="2"/>
  <c r="D2"/>
  <c r="B4" i="1"/>
  <c r="C2"/>
  <c r="D4" i="3"/>
  <c r="H3" i="4"/>
  <c r="E3" s="1"/>
  <c r="C3"/>
  <c r="C4" s="1"/>
  <c r="C5" s="1"/>
  <c r="B3"/>
  <c r="B4" s="1"/>
  <c r="D2"/>
  <c r="F4" i="3"/>
  <c r="G3"/>
  <c r="C4"/>
  <c r="C5"/>
  <c r="C6"/>
  <c r="C7" s="1"/>
  <c r="C8" s="1"/>
  <c r="C9" s="1"/>
  <c r="C10" s="1"/>
  <c r="C11" s="1"/>
  <c r="C12" s="1"/>
  <c r="C13" s="1"/>
  <c r="D5"/>
  <c r="I4"/>
  <c r="H4"/>
  <c r="G4"/>
  <c r="F5"/>
  <c r="G5" s="1"/>
  <c r="I3"/>
  <c r="H3"/>
  <c r="E4"/>
  <c r="E5"/>
  <c r="E6"/>
  <c r="E7"/>
  <c r="E8"/>
  <c r="E9"/>
  <c r="E10"/>
  <c r="E11"/>
  <c r="E12"/>
  <c r="E13"/>
  <c r="E3"/>
  <c r="F3" i="1"/>
  <c r="G3" s="1"/>
  <c r="C4"/>
  <c r="D4"/>
  <c r="G4"/>
  <c r="D2"/>
  <c r="E2" s="1"/>
  <c r="F2" s="1"/>
  <c r="G2" s="1"/>
  <c r="F4" l="1"/>
  <c r="D3" i="4"/>
  <c r="C4" i="2"/>
  <c r="B5" i="4"/>
  <c r="C6" s="1"/>
  <c r="D4"/>
  <c r="B4" i="2"/>
  <c r="C5" s="1"/>
  <c r="D3"/>
  <c r="H5" i="3"/>
  <c r="I5" s="1"/>
  <c r="D6"/>
  <c r="B6" i="4" l="1"/>
  <c r="D5"/>
  <c r="E5"/>
  <c r="B5" i="2"/>
  <c r="D4"/>
  <c r="C6"/>
  <c r="G6" i="3"/>
  <c r="H6" s="1"/>
  <c r="I6" s="1"/>
  <c r="F6"/>
  <c r="B7" i="4" l="1"/>
  <c r="D6"/>
  <c r="E6"/>
  <c r="E7" s="1"/>
  <c r="C7"/>
  <c r="C8" s="1"/>
  <c r="B6" i="2"/>
  <c r="D5"/>
  <c r="D7" i="3"/>
  <c r="B8" i="4" l="1"/>
  <c r="D7"/>
  <c r="E8"/>
  <c r="B7" i="2"/>
  <c r="D6"/>
  <c r="C7"/>
  <c r="F7" i="3"/>
  <c r="E9" i="4" l="1"/>
  <c r="B9"/>
  <c r="D8"/>
  <c r="C9"/>
  <c r="B8" i="2"/>
  <c r="D7"/>
  <c r="C8"/>
  <c r="D8" i="3"/>
  <c r="G7"/>
  <c r="H7" s="1"/>
  <c r="I7" s="1"/>
  <c r="C9" i="2" l="1"/>
  <c r="C10" i="4"/>
  <c r="C11" s="1"/>
  <c r="B10"/>
  <c r="D9"/>
  <c r="E10"/>
  <c r="B9" i="2"/>
  <c r="D8"/>
  <c r="F8" i="3"/>
  <c r="G8"/>
  <c r="H8" s="1"/>
  <c r="I8" s="1"/>
  <c r="C10" i="2" l="1"/>
  <c r="C12" i="4"/>
  <c r="B11"/>
  <c r="D10"/>
  <c r="E11"/>
  <c r="E12"/>
  <c r="B10" i="2"/>
  <c r="D9"/>
  <c r="D9" i="3"/>
  <c r="B12" i="4" l="1"/>
  <c r="D12" s="1"/>
  <c r="D11"/>
  <c r="C11" i="2"/>
  <c r="B11"/>
  <c r="D10"/>
  <c r="F9" i="3"/>
  <c r="G9" s="1"/>
  <c r="H9" s="1"/>
  <c r="I9" s="1"/>
  <c r="C12" i="2" l="1"/>
  <c r="B12"/>
  <c r="D12" s="1"/>
  <c r="D11"/>
  <c r="D10" i="3"/>
  <c r="F10" l="1"/>
  <c r="G10" l="1"/>
  <c r="H10" s="1"/>
  <c r="I10" s="1"/>
  <c r="D11" l="1"/>
  <c r="F11" l="1"/>
  <c r="G11"/>
  <c r="D12" l="1"/>
  <c r="H11"/>
  <c r="I11" s="1"/>
  <c r="F12" l="1"/>
  <c r="G12" l="1"/>
  <c r="H12" s="1"/>
  <c r="I12" s="1"/>
  <c r="D13" l="1"/>
  <c r="G13" l="1"/>
  <c r="H13" s="1"/>
  <c r="I13" s="1"/>
  <c r="F13"/>
</calcChain>
</file>

<file path=xl/sharedStrings.xml><?xml version="1.0" encoding="utf-8"?>
<sst xmlns="http://schemas.openxmlformats.org/spreadsheetml/2006/main" count="35" uniqueCount="24">
  <si>
    <t>k</t>
  </si>
  <si>
    <t>h=</t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</si>
  <si>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k</t>
    </r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</si>
  <si>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k</t>
    </r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</si>
  <si>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k</t>
    </r>
    <r>
      <rPr>
        <sz val="11"/>
        <color theme="1"/>
        <rFont val="Calibri"/>
        <family val="2"/>
        <charset val="204"/>
        <scheme val="minor"/>
      </rPr>
      <t>*</t>
    </r>
  </si>
  <si>
    <t>i</t>
  </si>
  <si>
    <t>x</t>
  </si>
  <si>
    <t>y</t>
  </si>
  <si>
    <t>Эйлер</t>
  </si>
  <si>
    <t>точное решение</t>
  </si>
  <si>
    <t>r1</t>
  </si>
  <si>
    <t>r2</t>
  </si>
  <si>
    <t>r3</t>
  </si>
  <si>
    <t>r4</t>
  </si>
  <si>
    <t>y0,5=</t>
  </si>
  <si>
    <t>уточненная ф эйлера</t>
  </si>
  <si>
    <t>точное</t>
  </si>
  <si>
    <t>мет Эйлера</t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</si>
  <si>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</si>
  <si>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charset val="204"/>
        <scheme val="minor"/>
      </rPr>
      <t>*</t>
    </r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</si>
  <si>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charset val="204"/>
        <scheme val="minor"/>
      </rPr>
      <t xml:space="preserve"> **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</si>
  <si>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</si>
  <si>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t>метод Эйлера</t>
  </si>
  <si>
    <t>Рунге-Кутта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</si>
</sst>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2">
    <font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right"/>
    </xf>
    <xf numFmtId="0" fontId="0" fillId="2" borderId="0" xfId="0" applyFill="1" applyAlignment="1">
      <alignment horizontal="left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left"/>
    </xf>
    <xf numFmtId="0" fontId="0" fillId="0" borderId="1" xfId="0" applyBorder="1" applyAlignment="1">
      <alignment horizontal="center"/>
    </xf>
    <xf numFmtId="0" fontId="0" fillId="8" borderId="1" xfId="0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165" fontId="0" fillId="9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0" fontId="0" fillId="10" borderId="0" xfId="0" applyFill="1"/>
    <xf numFmtId="0" fontId="0" fillId="11" borderId="1" xfId="0" applyFill="1" applyBorder="1" applyAlignment="1">
      <alignment horizontal="center"/>
    </xf>
    <xf numFmtId="164" fontId="0" fillId="11" borderId="1" xfId="0" applyNumberFormat="1" applyFill="1" applyBorder="1" applyAlignment="1">
      <alignment horizontal="center"/>
    </xf>
    <xf numFmtId="0" fontId="0" fillId="11" borderId="0" xfId="0" applyFill="1"/>
    <xf numFmtId="0" fontId="0" fillId="12" borderId="1" xfId="0" applyFill="1" applyBorder="1" applyAlignment="1">
      <alignment horizontal="center"/>
    </xf>
    <xf numFmtId="164" fontId="0" fillId="12" borderId="1" xfId="0" applyNumberForma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164" fontId="0" fillId="1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CCFF66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scatterChart>
        <c:scatterStyle val="smoothMarker"/>
        <c:ser>
          <c:idx val="0"/>
          <c:order val="0"/>
          <c:tx>
            <c:strRef>
              <c:f>'Метод Эйлера'!$A$3</c:f>
              <c:strCache>
                <c:ptCount val="1"/>
                <c:pt idx="0">
                  <c:v>yk</c:v>
                </c:pt>
              </c:strCache>
            </c:strRef>
          </c:tx>
          <c:xVal>
            <c:numRef>
              <c:f>'Метод Эйлера'!$B$2:$G$2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</c:numCache>
            </c:numRef>
          </c:xVal>
          <c:yVal>
            <c:numRef>
              <c:f>'Метод Эйлера'!$B$3:$G$3</c:f>
              <c:numCache>
                <c:formatCode>0.0000</c:formatCode>
                <c:ptCount val="6"/>
                <c:pt idx="0">
                  <c:v>1</c:v>
                </c:pt>
                <c:pt idx="1">
                  <c:v>0.8</c:v>
                </c:pt>
                <c:pt idx="2">
                  <c:v>0.64000000000000012</c:v>
                </c:pt>
                <c:pt idx="3">
                  <c:v>0.51200000000000012</c:v>
                </c:pt>
                <c:pt idx="4">
                  <c:v>0.40960000000000013</c:v>
                </c:pt>
                <c:pt idx="5">
                  <c:v>0.32768000000000014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'Метод Эйлера'!$A$4</c:f>
              <c:strCache>
                <c:ptCount val="1"/>
                <c:pt idx="0">
                  <c:v>yk*</c:v>
                </c:pt>
              </c:strCache>
            </c:strRef>
          </c:tx>
          <c:xVal>
            <c:numRef>
              <c:f>'Метод Эйлера'!$B$2:$G$2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</c:numCache>
            </c:numRef>
          </c:xVal>
          <c:yVal>
            <c:numRef>
              <c:f>'Метод Эйлера'!$B$4:$G$4</c:f>
              <c:numCache>
                <c:formatCode>0.0000</c:formatCode>
                <c:ptCount val="6"/>
                <c:pt idx="0">
                  <c:v>1</c:v>
                </c:pt>
                <c:pt idx="1">
                  <c:v>0.81873075307798182</c:v>
                </c:pt>
                <c:pt idx="2">
                  <c:v>0.67032004603563933</c:v>
                </c:pt>
                <c:pt idx="3">
                  <c:v>0.54881163609402639</c:v>
                </c:pt>
                <c:pt idx="4">
                  <c:v>0.44932896411722156</c:v>
                </c:pt>
                <c:pt idx="5">
                  <c:v>0.36787944117144233</c:v>
                </c:pt>
              </c:numCache>
            </c:numRef>
          </c:yVal>
          <c:smooth val="1"/>
        </c:ser>
        <c:axId val="54203904"/>
        <c:axId val="54205440"/>
      </c:scatterChart>
      <c:valAx>
        <c:axId val="54203904"/>
        <c:scaling>
          <c:orientation val="minMax"/>
          <c:max val="1"/>
        </c:scaling>
        <c:axPos val="b"/>
        <c:majorGridlines/>
        <c:numFmt formatCode="General" sourceLinked="1"/>
        <c:tickLblPos val="nextTo"/>
        <c:crossAx val="54205440"/>
        <c:crosses val="autoZero"/>
        <c:crossBetween val="midCat"/>
        <c:majorUnit val="0.1"/>
      </c:valAx>
      <c:valAx>
        <c:axId val="54205440"/>
        <c:scaling>
          <c:orientation val="minMax"/>
          <c:max val="1"/>
          <c:min val="0.30000000000000027"/>
        </c:scaling>
        <c:axPos val="l"/>
        <c:majorGridlines/>
        <c:numFmt formatCode="0.0" sourceLinked="0"/>
        <c:tickLblPos val="nextTo"/>
        <c:crossAx val="54203904"/>
        <c:crosses val="autoZero"/>
        <c:crossBetween val="midCat"/>
        <c:majorUnit val="0.1"/>
      </c:valAx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scatterChart>
        <c:scatterStyle val="smoothMarker"/>
        <c:ser>
          <c:idx val="0"/>
          <c:order val="0"/>
          <c:tx>
            <c:strRef>
              <c:f>'2 пример Барон'!$C$1</c:f>
              <c:strCache>
                <c:ptCount val="1"/>
                <c:pt idx="0">
                  <c:v>yi</c:v>
                </c:pt>
              </c:strCache>
            </c:strRef>
          </c:tx>
          <c:xVal>
            <c:numRef>
              <c:f>'2 пример Барон'!$B$2:$B$12</c:f>
              <c:numCache>
                <c:formatCode>General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1.2000000000000002</c:v>
                </c:pt>
                <c:pt idx="3">
                  <c:v>1.3000000000000003</c:v>
                </c:pt>
                <c:pt idx="4">
                  <c:v>1.4000000000000004</c:v>
                </c:pt>
                <c:pt idx="5">
                  <c:v>1.5000000000000004</c:v>
                </c:pt>
                <c:pt idx="6">
                  <c:v>1.6000000000000005</c:v>
                </c:pt>
                <c:pt idx="7">
                  <c:v>1.7000000000000006</c:v>
                </c:pt>
                <c:pt idx="8">
                  <c:v>1.8000000000000007</c:v>
                </c:pt>
                <c:pt idx="9">
                  <c:v>1.9000000000000008</c:v>
                </c:pt>
                <c:pt idx="10">
                  <c:v>2.0000000000000009</c:v>
                </c:pt>
              </c:numCache>
            </c:numRef>
          </c:xVal>
          <c:yVal>
            <c:numRef>
              <c:f>'2 пример Барон'!$C$2:$C$12</c:f>
              <c:numCache>
                <c:formatCode>0.0000</c:formatCode>
                <c:ptCount val="11"/>
                <c:pt idx="0">
                  <c:v>0</c:v>
                </c:pt>
                <c:pt idx="1">
                  <c:v>0.30000000000000004</c:v>
                </c:pt>
                <c:pt idx="2">
                  <c:v>0.54545454545454541</c:v>
                </c:pt>
                <c:pt idx="3">
                  <c:v>0.74999999999999989</c:v>
                </c:pt>
                <c:pt idx="4">
                  <c:v>0.92307692307692291</c:v>
                </c:pt>
                <c:pt idx="5">
                  <c:v>1.0714285714285712</c:v>
                </c:pt>
                <c:pt idx="6">
                  <c:v>1.1999999999999997</c:v>
                </c:pt>
                <c:pt idx="7">
                  <c:v>1.3124999999999998</c:v>
                </c:pt>
                <c:pt idx="8">
                  <c:v>1.4117647058823528</c:v>
                </c:pt>
                <c:pt idx="9">
                  <c:v>1.4999999999999998</c:v>
                </c:pt>
                <c:pt idx="10">
                  <c:v>1.5789473684210524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'2 пример Барон'!$D$1</c:f>
              <c:strCache>
                <c:ptCount val="1"/>
                <c:pt idx="0">
                  <c:v>yi*</c:v>
                </c:pt>
              </c:strCache>
            </c:strRef>
          </c:tx>
          <c:xVal>
            <c:numRef>
              <c:f>'2 пример Барон'!$B$2:$B$12</c:f>
              <c:numCache>
                <c:formatCode>General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1.2000000000000002</c:v>
                </c:pt>
                <c:pt idx="3">
                  <c:v>1.3000000000000003</c:v>
                </c:pt>
                <c:pt idx="4">
                  <c:v>1.4000000000000004</c:v>
                </c:pt>
                <c:pt idx="5">
                  <c:v>1.5000000000000004</c:v>
                </c:pt>
                <c:pt idx="6">
                  <c:v>1.6000000000000005</c:v>
                </c:pt>
                <c:pt idx="7">
                  <c:v>1.7000000000000006</c:v>
                </c:pt>
                <c:pt idx="8">
                  <c:v>1.8000000000000007</c:v>
                </c:pt>
                <c:pt idx="9">
                  <c:v>1.9000000000000008</c:v>
                </c:pt>
                <c:pt idx="10">
                  <c:v>2.0000000000000009</c:v>
                </c:pt>
              </c:numCache>
            </c:numRef>
          </c:xVal>
          <c:yVal>
            <c:numRef>
              <c:f>'2 пример Барон'!$D$2:$D$12</c:f>
              <c:numCache>
                <c:formatCode>0.0000</c:formatCode>
                <c:ptCount val="11"/>
                <c:pt idx="0">
                  <c:v>0</c:v>
                </c:pt>
                <c:pt idx="1">
                  <c:v>0.27272727272727293</c:v>
                </c:pt>
                <c:pt idx="2">
                  <c:v>0.50000000000000044</c:v>
                </c:pt>
                <c:pt idx="3">
                  <c:v>0.69230769230769296</c:v>
                </c:pt>
                <c:pt idx="4">
                  <c:v>0.85714285714285765</c:v>
                </c:pt>
                <c:pt idx="5">
                  <c:v>1.0000000000000007</c:v>
                </c:pt>
                <c:pt idx="6">
                  <c:v>1.1250000000000007</c:v>
                </c:pt>
                <c:pt idx="7">
                  <c:v>1.2352941176470595</c:v>
                </c:pt>
                <c:pt idx="8">
                  <c:v>1.3333333333333339</c:v>
                </c:pt>
                <c:pt idx="9">
                  <c:v>1.421052631578948</c:v>
                </c:pt>
                <c:pt idx="10">
                  <c:v>1.5000000000000007</c:v>
                </c:pt>
              </c:numCache>
            </c:numRef>
          </c:yVal>
          <c:smooth val="1"/>
        </c:ser>
        <c:axId val="54194560"/>
        <c:axId val="54196096"/>
      </c:scatterChart>
      <c:valAx>
        <c:axId val="54194560"/>
        <c:scaling>
          <c:orientation val="minMax"/>
          <c:max val="2"/>
          <c:min val="1"/>
        </c:scaling>
        <c:axPos val="b"/>
        <c:majorGridlines/>
        <c:numFmt formatCode="General" sourceLinked="1"/>
        <c:tickLblPos val="nextTo"/>
        <c:crossAx val="54196096"/>
        <c:crosses val="autoZero"/>
        <c:crossBetween val="midCat"/>
        <c:majorUnit val="0.1"/>
      </c:valAx>
      <c:valAx>
        <c:axId val="54196096"/>
        <c:scaling>
          <c:orientation val="minMax"/>
          <c:max val="1.6"/>
        </c:scaling>
        <c:axPos val="l"/>
        <c:majorGridlines/>
        <c:numFmt formatCode="0.0" sourceLinked="0"/>
        <c:tickLblPos val="nextTo"/>
        <c:crossAx val="54194560"/>
        <c:crosses val="autoZero"/>
        <c:crossBetween val="midCat"/>
        <c:majorUnit val="0.1"/>
      </c:valAx>
    </c:plotArea>
    <c:legend>
      <c:legendPos val="r"/>
      <c:layout/>
    </c:legend>
    <c:plotVisOnly val="1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scatterChart>
        <c:scatterStyle val="smoothMarker"/>
        <c:ser>
          <c:idx val="0"/>
          <c:order val="0"/>
          <c:tx>
            <c:strRef>
              <c:f>'2 пример+уточнён мет'!$C$1</c:f>
              <c:strCache>
                <c:ptCount val="1"/>
                <c:pt idx="0">
                  <c:v>yi</c:v>
                </c:pt>
              </c:strCache>
            </c:strRef>
          </c:tx>
          <c:xVal>
            <c:numRef>
              <c:f>'2 пример+уточнён мет'!$B$2:$B$12</c:f>
              <c:numCache>
                <c:formatCode>General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1.2000000000000002</c:v>
                </c:pt>
                <c:pt idx="3">
                  <c:v>1.3000000000000003</c:v>
                </c:pt>
                <c:pt idx="4">
                  <c:v>1.4000000000000004</c:v>
                </c:pt>
                <c:pt idx="5">
                  <c:v>1.5000000000000004</c:v>
                </c:pt>
                <c:pt idx="6">
                  <c:v>1.6000000000000005</c:v>
                </c:pt>
                <c:pt idx="7">
                  <c:v>1.7000000000000006</c:v>
                </c:pt>
                <c:pt idx="8">
                  <c:v>1.8000000000000007</c:v>
                </c:pt>
                <c:pt idx="9">
                  <c:v>1.9000000000000008</c:v>
                </c:pt>
                <c:pt idx="10">
                  <c:v>2.0000000000000009</c:v>
                </c:pt>
              </c:numCache>
            </c:numRef>
          </c:xVal>
          <c:yVal>
            <c:numRef>
              <c:f>'2 пример+уточнён мет'!$C$2:$C$12</c:f>
              <c:numCache>
                <c:formatCode>0.0000</c:formatCode>
                <c:ptCount val="11"/>
                <c:pt idx="0">
                  <c:v>0</c:v>
                </c:pt>
                <c:pt idx="1">
                  <c:v>0.30000000000000004</c:v>
                </c:pt>
                <c:pt idx="2">
                  <c:v>0.54545454545454541</c:v>
                </c:pt>
                <c:pt idx="3">
                  <c:v>0.74999999999999989</c:v>
                </c:pt>
                <c:pt idx="4">
                  <c:v>0.92307692307692291</c:v>
                </c:pt>
                <c:pt idx="5">
                  <c:v>1.0714285714285712</c:v>
                </c:pt>
                <c:pt idx="6">
                  <c:v>1.1999999999999997</c:v>
                </c:pt>
                <c:pt idx="7">
                  <c:v>1.3124999999999998</c:v>
                </c:pt>
                <c:pt idx="8">
                  <c:v>1.4117647058823528</c:v>
                </c:pt>
                <c:pt idx="9">
                  <c:v>1.4999999999999998</c:v>
                </c:pt>
                <c:pt idx="10">
                  <c:v>1.5789473684210524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'2 пример+уточнён мет'!$D$1</c:f>
              <c:strCache>
                <c:ptCount val="1"/>
                <c:pt idx="0">
                  <c:v>yi*</c:v>
                </c:pt>
              </c:strCache>
            </c:strRef>
          </c:tx>
          <c:xVal>
            <c:numRef>
              <c:f>'2 пример+уточнён мет'!$B$2:$B$12</c:f>
              <c:numCache>
                <c:formatCode>General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1.2000000000000002</c:v>
                </c:pt>
                <c:pt idx="3">
                  <c:v>1.3000000000000003</c:v>
                </c:pt>
                <c:pt idx="4">
                  <c:v>1.4000000000000004</c:v>
                </c:pt>
                <c:pt idx="5">
                  <c:v>1.5000000000000004</c:v>
                </c:pt>
                <c:pt idx="6">
                  <c:v>1.6000000000000005</c:v>
                </c:pt>
                <c:pt idx="7">
                  <c:v>1.7000000000000006</c:v>
                </c:pt>
                <c:pt idx="8">
                  <c:v>1.8000000000000007</c:v>
                </c:pt>
                <c:pt idx="9">
                  <c:v>1.9000000000000008</c:v>
                </c:pt>
                <c:pt idx="10">
                  <c:v>2.0000000000000009</c:v>
                </c:pt>
              </c:numCache>
            </c:numRef>
          </c:xVal>
          <c:yVal>
            <c:numRef>
              <c:f>'2 пример+уточнён мет'!$D$2:$D$12</c:f>
              <c:numCache>
                <c:formatCode>0.0000</c:formatCode>
                <c:ptCount val="11"/>
                <c:pt idx="0">
                  <c:v>0</c:v>
                </c:pt>
                <c:pt idx="1">
                  <c:v>0.27272727272727293</c:v>
                </c:pt>
                <c:pt idx="2">
                  <c:v>0.50000000000000044</c:v>
                </c:pt>
                <c:pt idx="3">
                  <c:v>0.69230769230769296</c:v>
                </c:pt>
                <c:pt idx="4">
                  <c:v>0.85714285714285765</c:v>
                </c:pt>
                <c:pt idx="5">
                  <c:v>1.0000000000000007</c:v>
                </c:pt>
                <c:pt idx="6">
                  <c:v>1.1250000000000007</c:v>
                </c:pt>
                <c:pt idx="7">
                  <c:v>1.2352941176470595</c:v>
                </c:pt>
                <c:pt idx="8">
                  <c:v>1.3333333333333339</c:v>
                </c:pt>
                <c:pt idx="9">
                  <c:v>1.421052631578948</c:v>
                </c:pt>
                <c:pt idx="10">
                  <c:v>1.5000000000000007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'2 пример+уточнён мет'!$E$1</c:f>
              <c:strCache>
                <c:ptCount val="1"/>
                <c:pt idx="0">
                  <c:v>yi **</c:v>
                </c:pt>
              </c:strCache>
            </c:strRef>
          </c:tx>
          <c:xVal>
            <c:numRef>
              <c:f>'2 пример+уточнён мет'!$B$2:$B$12</c:f>
              <c:numCache>
                <c:formatCode>General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1.2000000000000002</c:v>
                </c:pt>
                <c:pt idx="3">
                  <c:v>1.3000000000000003</c:v>
                </c:pt>
                <c:pt idx="4">
                  <c:v>1.4000000000000004</c:v>
                </c:pt>
                <c:pt idx="5">
                  <c:v>1.5000000000000004</c:v>
                </c:pt>
                <c:pt idx="6">
                  <c:v>1.6000000000000005</c:v>
                </c:pt>
                <c:pt idx="7">
                  <c:v>1.7000000000000006</c:v>
                </c:pt>
                <c:pt idx="8">
                  <c:v>1.8000000000000007</c:v>
                </c:pt>
                <c:pt idx="9">
                  <c:v>1.9000000000000008</c:v>
                </c:pt>
                <c:pt idx="10">
                  <c:v>2.0000000000000009</c:v>
                </c:pt>
              </c:numCache>
            </c:numRef>
          </c:xVal>
          <c:yVal>
            <c:numRef>
              <c:f>'2 пример+уточнён мет'!$E$2:$E$12</c:f>
              <c:numCache>
                <c:formatCode>0.0000</c:formatCode>
                <c:ptCount val="11"/>
                <c:pt idx="0">
                  <c:v>0</c:v>
                </c:pt>
                <c:pt idx="1">
                  <c:v>0.27142857142857146</c:v>
                </c:pt>
                <c:pt idx="2">
                  <c:v>0.4961038961038961</c:v>
                </c:pt>
                <c:pt idx="3">
                  <c:v>0.68874458874458877</c:v>
                </c:pt>
                <c:pt idx="4">
                  <c:v>0.85168165168165166</c:v>
                </c:pt>
                <c:pt idx="5">
                  <c:v>0.99564720993292422</c:v>
                </c:pt>
                <c:pt idx="6">
                  <c:v>1.1189286903572617</c:v>
                </c:pt>
                <c:pt idx="7">
                  <c:v>1.2307811236382664</c:v>
                </c:pt>
                <c:pt idx="8">
                  <c:v>1.3270720875762891</c:v>
                </c:pt>
                <c:pt idx="9">
                  <c:v>1.4166620027964565</c:v>
                </c:pt>
                <c:pt idx="10">
                  <c:v>1.493739245176662</c:v>
                </c:pt>
              </c:numCache>
            </c:numRef>
          </c:yVal>
          <c:smooth val="1"/>
        </c:ser>
        <c:axId val="67657088"/>
        <c:axId val="67662976"/>
      </c:scatterChart>
      <c:valAx>
        <c:axId val="67657088"/>
        <c:scaling>
          <c:orientation val="minMax"/>
          <c:max val="2"/>
          <c:min val="1"/>
        </c:scaling>
        <c:axPos val="b"/>
        <c:majorGridlines/>
        <c:numFmt formatCode="General" sourceLinked="1"/>
        <c:tickLblPos val="nextTo"/>
        <c:crossAx val="67662976"/>
        <c:crosses val="autoZero"/>
        <c:crossBetween val="midCat"/>
        <c:majorUnit val="0.1"/>
      </c:valAx>
      <c:valAx>
        <c:axId val="67662976"/>
        <c:scaling>
          <c:orientation val="minMax"/>
          <c:max val="1.6"/>
        </c:scaling>
        <c:axPos val="l"/>
        <c:majorGridlines/>
        <c:numFmt formatCode="0.0" sourceLinked="0"/>
        <c:tickLblPos val="nextTo"/>
        <c:crossAx val="67657088"/>
        <c:crosses val="autoZero"/>
        <c:crossBetween val="midCat"/>
        <c:majorUnit val="0.1"/>
      </c:valAx>
    </c:plotArea>
    <c:legend>
      <c:legendPos val="r"/>
      <c:layout/>
    </c:legend>
    <c:plotVisOnly val="1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scatterChart>
        <c:scatterStyle val="smoothMarker"/>
        <c:ser>
          <c:idx val="0"/>
          <c:order val="0"/>
          <c:xVal>
            <c:numRef>
              <c:f>'Рунге-Кутты'!$B$3:$B$13</c:f>
              <c:numCache>
                <c:formatCode>General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xVal>
          <c:yVal>
            <c:numRef>
              <c:f>'Рунге-Кутты'!$C$3:$C$13</c:f>
              <c:numCache>
                <c:formatCode>0.000000</c:formatCode>
                <c:ptCount val="11"/>
                <c:pt idx="0" formatCode="General">
                  <c:v>1</c:v>
                </c:pt>
                <c:pt idx="1">
                  <c:v>1.05</c:v>
                </c:pt>
                <c:pt idx="2">
                  <c:v>1.0998749999999999</c:v>
                </c:pt>
                <c:pt idx="3">
                  <c:v>1.149369375</c:v>
                </c:pt>
                <c:pt idx="4">
                  <c:v>1.1982175734375</c:v>
                </c:pt>
                <c:pt idx="5">
                  <c:v>1.246146276375</c:v>
                </c:pt>
                <c:pt idx="6">
                  <c:v>1.2928767617390624</c:v>
                </c:pt>
                <c:pt idx="7">
                  <c:v>1.3381274483999297</c:v>
                </c:pt>
                <c:pt idx="8">
                  <c:v>1.3816165904729274</c:v>
                </c:pt>
                <c:pt idx="9">
                  <c:v>1.4230650881871152</c:v>
                </c:pt>
                <c:pt idx="10">
                  <c:v>1.4621993781122609</c:v>
                </c:pt>
              </c:numCache>
            </c:numRef>
          </c:yVal>
          <c:smooth val="1"/>
        </c:ser>
        <c:ser>
          <c:idx val="1"/>
          <c:order val="1"/>
          <c:xVal>
            <c:numRef>
              <c:f>'Рунге-Кутты'!$B$3:$B$13</c:f>
              <c:numCache>
                <c:formatCode>General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xVal>
          <c:yVal>
            <c:numRef>
              <c:f>'Рунге-Кутты'!$D$3:$D$13</c:f>
              <c:numCache>
                <c:formatCode>0.000000</c:formatCode>
                <c:ptCount val="11"/>
                <c:pt idx="0" formatCode="General">
                  <c:v>1</c:v>
                </c:pt>
                <c:pt idx="1">
                  <c:v>1.0499578260009765</c:v>
                </c:pt>
                <c:pt idx="2">
                  <c:v>1.0996588505290628</c:v>
                </c:pt>
                <c:pt idx="3">
                  <c:v>1.1488368484664906</c:v>
                </c:pt>
                <c:pt idx="4">
                  <c:v>1.1972173551536587</c:v>
                </c:pt>
                <c:pt idx="5">
                  <c:v>1.2445200984887528</c:v>
                </c:pt>
                <c:pt idx="6">
                  <c:v>1.2904616104934883</c:v>
                </c:pt>
                <c:pt idx="7">
                  <c:v>1.3347579860095675</c:v>
                </c:pt>
                <c:pt idx="8">
                  <c:v>1.3771277522540641</c:v>
                </c:pt>
                <c:pt idx="9">
                  <c:v>1.4172948096073514</c:v>
                </c:pt>
                <c:pt idx="10">
                  <c:v>1.4549914013331557</c:v>
                </c:pt>
              </c:numCache>
            </c:numRef>
          </c:yVal>
          <c:smooth val="1"/>
        </c:ser>
        <c:ser>
          <c:idx val="2"/>
          <c:order val="2"/>
          <c:xVal>
            <c:numRef>
              <c:f>'Рунге-Кутты'!$B$3:$B$13</c:f>
              <c:numCache>
                <c:formatCode>General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xVal>
          <c:yVal>
            <c:numRef>
              <c:f>'Рунге-Кутты'!$E$3:$E$13</c:f>
              <c:numCache>
                <c:formatCode>0.000000</c:formatCode>
                <c:ptCount val="11"/>
                <c:pt idx="0" formatCode="General">
                  <c:v>1</c:v>
                </c:pt>
                <c:pt idx="1">
                  <c:v>1.0499578284689943</c:v>
                </c:pt>
                <c:pt idx="2">
                  <c:v>1.0996588551261028</c:v>
                </c:pt>
                <c:pt idx="3">
                  <c:v>1.1488368548857399</c:v>
                </c:pt>
                <c:pt idx="4">
                  <c:v>1.1972173631218102</c:v>
                </c:pt>
                <c:pt idx="5">
                  <c:v>1.2445201077660952</c:v>
                </c:pt>
                <c:pt idx="6">
                  <c:v>1.2904616208728898</c:v>
                </c:pt>
                <c:pt idx="7">
                  <c:v>1.3347579973145163</c:v>
                </c:pt>
                <c:pt idx="8">
                  <c:v>1.3771277643359572</c:v>
                </c:pt>
                <c:pt idx="9">
                  <c:v>1.4172948223422464</c:v>
                </c:pt>
                <c:pt idx="10">
                  <c:v>1.4549914146182013</c:v>
                </c:pt>
              </c:numCache>
            </c:numRef>
          </c:yVal>
          <c:smooth val="1"/>
        </c:ser>
        <c:axId val="68917504"/>
        <c:axId val="68927488"/>
      </c:scatterChart>
      <c:valAx>
        <c:axId val="68917504"/>
        <c:scaling>
          <c:orientation val="minMax"/>
          <c:max val="0.5"/>
        </c:scaling>
        <c:axPos val="b"/>
        <c:majorGridlines/>
        <c:numFmt formatCode="General" sourceLinked="1"/>
        <c:tickLblPos val="nextTo"/>
        <c:crossAx val="68927488"/>
        <c:crosses val="autoZero"/>
        <c:crossBetween val="midCat"/>
        <c:majorUnit val="0.05"/>
      </c:valAx>
      <c:valAx>
        <c:axId val="68927488"/>
        <c:scaling>
          <c:orientation val="minMax"/>
          <c:min val="1"/>
        </c:scaling>
        <c:axPos val="l"/>
        <c:majorGridlines/>
        <c:numFmt formatCode="General" sourceLinked="1"/>
        <c:tickLblPos val="nextTo"/>
        <c:crossAx val="68917504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571499</xdr:colOff>
      <xdr:row>8</xdr:row>
      <xdr:rowOff>85724</xdr:rowOff>
    </xdr:from>
    <xdr:to>
      <xdr:col>9</xdr:col>
      <xdr:colOff>466725</xdr:colOff>
      <xdr:row>27</xdr:row>
      <xdr:rowOff>19049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420049</xdr:colOff>
      <xdr:row>3</xdr:row>
      <xdr:rowOff>51955</xdr:rowOff>
    </xdr:from>
    <xdr:to>
      <xdr:col>11</xdr:col>
      <xdr:colOff>109969</xdr:colOff>
      <xdr:row>17</xdr:row>
      <xdr:rowOff>51954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918322" y="658091"/>
          <a:ext cx="3326738" cy="26669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390525</xdr:colOff>
      <xdr:row>13</xdr:row>
      <xdr:rowOff>85724</xdr:rowOff>
    </xdr:from>
    <xdr:to>
      <xdr:col>5</xdr:col>
      <xdr:colOff>173182</xdr:colOff>
      <xdr:row>30</xdr:row>
      <xdr:rowOff>161191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78531</xdr:rowOff>
    </xdr:from>
    <xdr:to>
      <xdr:col>4</xdr:col>
      <xdr:colOff>952500</xdr:colOff>
      <xdr:row>33</xdr:row>
      <xdr:rowOff>103909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597274</xdr:colOff>
      <xdr:row>19</xdr:row>
      <xdr:rowOff>560</xdr:rowOff>
    </xdr:from>
    <xdr:to>
      <xdr:col>6</xdr:col>
      <xdr:colOff>238125</xdr:colOff>
      <xdr:row>33</xdr:row>
      <xdr:rowOff>79001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zoomScaleNormal="100" workbookViewId="0">
      <selection activeCell="L30" sqref="L30"/>
    </sheetView>
  </sheetViews>
  <sheetFormatPr defaultRowHeight="15"/>
  <sheetData>
    <row r="1" spans="1:10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I1" s="2" t="s">
        <v>1</v>
      </c>
      <c r="J1" s="3">
        <v>0.2</v>
      </c>
    </row>
    <row r="2" spans="1:10" ht="18">
      <c r="A2" s="1" t="s">
        <v>2</v>
      </c>
      <c r="B2" s="32">
        <v>0</v>
      </c>
      <c r="C2" s="1">
        <f>B2+$J$1</f>
        <v>0.2</v>
      </c>
      <c r="D2" s="1">
        <f t="shared" ref="D2:G2" si="0">C2+$J$1</f>
        <v>0.4</v>
      </c>
      <c r="E2" s="1">
        <f t="shared" si="0"/>
        <v>0.60000000000000009</v>
      </c>
      <c r="F2" s="1">
        <f t="shared" si="0"/>
        <v>0.8</v>
      </c>
      <c r="G2" s="1">
        <f t="shared" si="0"/>
        <v>1</v>
      </c>
    </row>
    <row r="3" spans="1:10" ht="18">
      <c r="A3" s="29" t="s">
        <v>3</v>
      </c>
      <c r="B3" s="33">
        <v>1</v>
      </c>
      <c r="C3" s="30">
        <f>0.8*B3</f>
        <v>0.8</v>
      </c>
      <c r="D3" s="30">
        <f>0.8*C3</f>
        <v>0.64000000000000012</v>
      </c>
      <c r="E3" s="30">
        <f>0.8*D3</f>
        <v>0.51200000000000012</v>
      </c>
      <c r="F3" s="30">
        <f t="shared" ref="F3:G3" si="1">0.8*E3</f>
        <v>0.40960000000000013</v>
      </c>
      <c r="G3" s="30">
        <f t="shared" si="1"/>
        <v>0.32768000000000014</v>
      </c>
      <c r="H3" s="31" t="s">
        <v>22</v>
      </c>
      <c r="I3" s="31"/>
    </row>
    <row r="4" spans="1:10" ht="18">
      <c r="A4" s="26" t="s">
        <v>4</v>
      </c>
      <c r="B4" s="27">
        <f>EXP(-B2)</f>
        <v>1</v>
      </c>
      <c r="C4" s="27">
        <f t="shared" ref="C4:G4" si="2">EXP(-C2)</f>
        <v>0.81873075307798182</v>
      </c>
      <c r="D4" s="27">
        <f t="shared" si="2"/>
        <v>0.67032004603563933</v>
      </c>
      <c r="E4" s="27">
        <f>EXP(-E2)</f>
        <v>0.54881163609402639</v>
      </c>
      <c r="F4" s="27">
        <f t="shared" si="2"/>
        <v>0.44932896411722156</v>
      </c>
      <c r="G4" s="27">
        <f t="shared" si="2"/>
        <v>0.36787944117144233</v>
      </c>
      <c r="H4" s="28" t="s">
        <v>9</v>
      </c>
      <c r="I4" s="28"/>
    </row>
  </sheetData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tabSelected="1" zoomScale="110" zoomScaleNormal="110" workbookViewId="0">
      <selection activeCell="J30" sqref="J30"/>
    </sheetView>
  </sheetViews>
  <sheetFormatPr defaultRowHeight="15"/>
  <cols>
    <col min="3" max="3" width="12.28515625" customWidth="1"/>
    <col min="4" max="4" width="12.85546875" customWidth="1"/>
  </cols>
  <sheetData>
    <row r="1" spans="1:7" ht="18">
      <c r="A1" s="1" t="s">
        <v>5</v>
      </c>
      <c r="B1" s="16" t="s">
        <v>21</v>
      </c>
      <c r="C1" s="7" t="s">
        <v>18</v>
      </c>
      <c r="D1" s="9" t="s">
        <v>19</v>
      </c>
      <c r="F1" s="17" t="s">
        <v>1</v>
      </c>
      <c r="G1" s="18">
        <v>0.1</v>
      </c>
    </row>
    <row r="2" spans="1:7">
      <c r="A2" s="1">
        <v>0</v>
      </c>
      <c r="B2" s="34">
        <v>1</v>
      </c>
      <c r="C2" s="35">
        <v>0</v>
      </c>
      <c r="D2" s="10">
        <f>3-3/B2</f>
        <v>0</v>
      </c>
    </row>
    <row r="3" spans="1:7">
      <c r="A3" s="1">
        <v>1</v>
      </c>
      <c r="B3" s="1">
        <f>B2+$G$1</f>
        <v>1.1000000000000001</v>
      </c>
      <c r="C3" s="8">
        <f>C2+$G$1*(3/B2-C2/B2)</f>
        <v>0.30000000000000004</v>
      </c>
      <c r="D3" s="10">
        <f t="shared" ref="D3:D12" si="0">3-3/B3</f>
        <v>0.27272727272727293</v>
      </c>
    </row>
    <row r="4" spans="1:7">
      <c r="A4" s="1">
        <v>2</v>
      </c>
      <c r="B4" s="1">
        <f t="shared" ref="B4:B12" si="1">B3+$G$1</f>
        <v>1.2000000000000002</v>
      </c>
      <c r="C4" s="8">
        <f t="shared" ref="C4:C12" si="2">C3+$G$1*(3/B3-C3/B3)</f>
        <v>0.54545454545454541</v>
      </c>
      <c r="D4" s="10">
        <f t="shared" si="0"/>
        <v>0.50000000000000044</v>
      </c>
    </row>
    <row r="5" spans="1:7">
      <c r="A5" s="1">
        <v>3</v>
      </c>
      <c r="B5" s="1">
        <f t="shared" si="1"/>
        <v>1.3000000000000003</v>
      </c>
      <c r="C5" s="8">
        <f t="shared" si="2"/>
        <v>0.74999999999999989</v>
      </c>
      <c r="D5" s="10">
        <f t="shared" si="0"/>
        <v>0.69230769230769296</v>
      </c>
    </row>
    <row r="6" spans="1:7">
      <c r="A6" s="1">
        <v>4</v>
      </c>
      <c r="B6" s="1">
        <f t="shared" si="1"/>
        <v>1.4000000000000004</v>
      </c>
      <c r="C6" s="8">
        <f t="shared" si="2"/>
        <v>0.92307692307692291</v>
      </c>
      <c r="D6" s="10">
        <f t="shared" si="0"/>
        <v>0.85714285714285765</v>
      </c>
    </row>
    <row r="7" spans="1:7">
      <c r="A7" s="1">
        <v>5</v>
      </c>
      <c r="B7" s="1">
        <f t="shared" si="1"/>
        <v>1.5000000000000004</v>
      </c>
      <c r="C7" s="8">
        <f t="shared" si="2"/>
        <v>1.0714285714285712</v>
      </c>
      <c r="D7" s="10">
        <f t="shared" si="0"/>
        <v>1.0000000000000007</v>
      </c>
    </row>
    <row r="8" spans="1:7">
      <c r="A8" s="1">
        <v>6</v>
      </c>
      <c r="B8" s="1">
        <f t="shared" si="1"/>
        <v>1.6000000000000005</v>
      </c>
      <c r="C8" s="8">
        <f t="shared" si="2"/>
        <v>1.1999999999999997</v>
      </c>
      <c r="D8" s="10">
        <f t="shared" si="0"/>
        <v>1.1250000000000007</v>
      </c>
    </row>
    <row r="9" spans="1:7">
      <c r="A9" s="1">
        <v>7</v>
      </c>
      <c r="B9" s="1">
        <f t="shared" si="1"/>
        <v>1.7000000000000006</v>
      </c>
      <c r="C9" s="8">
        <f t="shared" si="2"/>
        <v>1.3124999999999998</v>
      </c>
      <c r="D9" s="10">
        <f t="shared" si="0"/>
        <v>1.2352941176470595</v>
      </c>
    </row>
    <row r="10" spans="1:7">
      <c r="A10" s="1">
        <v>8</v>
      </c>
      <c r="B10" s="1">
        <f t="shared" si="1"/>
        <v>1.8000000000000007</v>
      </c>
      <c r="C10" s="8">
        <f t="shared" si="2"/>
        <v>1.4117647058823528</v>
      </c>
      <c r="D10" s="10">
        <f t="shared" si="0"/>
        <v>1.3333333333333339</v>
      </c>
    </row>
    <row r="11" spans="1:7">
      <c r="A11" s="1">
        <v>9</v>
      </c>
      <c r="B11" s="1">
        <f t="shared" si="1"/>
        <v>1.9000000000000008</v>
      </c>
      <c r="C11" s="8">
        <f t="shared" si="2"/>
        <v>1.4999999999999998</v>
      </c>
      <c r="D11" s="10">
        <f t="shared" si="0"/>
        <v>1.421052631578948</v>
      </c>
    </row>
    <row r="12" spans="1:7">
      <c r="A12" s="1">
        <v>10</v>
      </c>
      <c r="B12" s="1">
        <f t="shared" si="1"/>
        <v>2.0000000000000009</v>
      </c>
      <c r="C12" s="8">
        <f t="shared" si="2"/>
        <v>1.5789473684210524</v>
      </c>
      <c r="D12" s="10">
        <f t="shared" si="0"/>
        <v>1.5000000000000007</v>
      </c>
    </row>
    <row r="13" spans="1:7">
      <c r="C13" s="7" t="s">
        <v>17</v>
      </c>
      <c r="D13" s="9" t="s">
        <v>16</v>
      </c>
    </row>
  </sheetData>
  <pageMargins left="0.7" right="0.7" top="0.75" bottom="0.75" header="0.3" footer="0.3"/>
  <pageSetup paperSize="0" orientation="portrait" horizontalDpi="0" verticalDpi="0" copie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"/>
  <sheetViews>
    <sheetView zoomScale="110" zoomScaleNormal="110" workbookViewId="0">
      <selection activeCell="G10" sqref="G10"/>
    </sheetView>
  </sheetViews>
  <sheetFormatPr defaultRowHeight="15"/>
  <cols>
    <col min="3" max="3" width="12.28515625" customWidth="1"/>
    <col min="4" max="4" width="12.85546875" customWidth="1"/>
    <col min="5" max="5" width="20.5703125" bestFit="1" customWidth="1"/>
  </cols>
  <sheetData>
    <row r="1" spans="1:8" ht="18">
      <c r="A1" s="21" t="s">
        <v>5</v>
      </c>
      <c r="B1" s="21" t="s">
        <v>21</v>
      </c>
      <c r="C1" s="7" t="s">
        <v>18</v>
      </c>
      <c r="D1" s="9" t="s">
        <v>19</v>
      </c>
      <c r="E1" s="11" t="s">
        <v>20</v>
      </c>
      <c r="G1" s="17" t="s">
        <v>1</v>
      </c>
      <c r="H1" s="18">
        <v>0.1</v>
      </c>
    </row>
    <row r="2" spans="1:8">
      <c r="A2" s="21">
        <v>0</v>
      </c>
      <c r="B2" s="22">
        <v>1</v>
      </c>
      <c r="C2" s="23">
        <v>0</v>
      </c>
      <c r="D2" s="10">
        <f>3-3/B2</f>
        <v>0</v>
      </c>
      <c r="E2" s="12">
        <v>0</v>
      </c>
    </row>
    <row r="3" spans="1:8">
      <c r="A3" s="21">
        <v>1</v>
      </c>
      <c r="B3" s="21">
        <f>B2+$H$1</f>
        <v>1.1000000000000001</v>
      </c>
      <c r="C3" s="8">
        <f>C2+$H$1*(3/B2-C2/B2)</f>
        <v>0.30000000000000004</v>
      </c>
      <c r="D3" s="10">
        <f t="shared" ref="D3:D12" si="0">3-3/B3</f>
        <v>0.27272727272727293</v>
      </c>
      <c r="E3" s="12">
        <f>E2+H1*(3/(B2+H1/2)-H3/(B2+H1/2))</f>
        <v>0.27142857142857146</v>
      </c>
      <c r="G3" s="19" t="s">
        <v>14</v>
      </c>
      <c r="H3" s="20">
        <f>E2+H1/2*(3/B2-E2/B2)</f>
        <v>0.15000000000000002</v>
      </c>
    </row>
    <row r="4" spans="1:8">
      <c r="A4" s="21">
        <v>2</v>
      </c>
      <c r="B4" s="21">
        <f t="shared" ref="B4:B12" si="1">B3+$H$1</f>
        <v>1.2000000000000002</v>
      </c>
      <c r="C4" s="8">
        <f t="shared" ref="C4:C12" si="2">C3+$H$1*(3/B3-C3/B3)</f>
        <v>0.54545454545454541</v>
      </c>
      <c r="D4" s="10">
        <f t="shared" si="0"/>
        <v>0.50000000000000044</v>
      </c>
      <c r="E4" s="12">
        <f>E2+2*$H$1*(3/B3-E3/B3)</f>
        <v>0.4961038961038961</v>
      </c>
    </row>
    <row r="5" spans="1:8">
      <c r="A5" s="21">
        <v>3</v>
      </c>
      <c r="B5" s="21">
        <f t="shared" si="1"/>
        <v>1.3000000000000003</v>
      </c>
      <c r="C5" s="8">
        <f t="shared" si="2"/>
        <v>0.74999999999999989</v>
      </c>
      <c r="D5" s="10">
        <f t="shared" si="0"/>
        <v>0.69230769230769296</v>
      </c>
      <c r="E5" s="12">
        <f t="shared" ref="E5:E12" si="3">E3+2*$H$1*(3/B4-E4/B4)</f>
        <v>0.68874458874458877</v>
      </c>
    </row>
    <row r="6" spans="1:8">
      <c r="A6" s="21">
        <v>4</v>
      </c>
      <c r="B6" s="21">
        <f t="shared" si="1"/>
        <v>1.4000000000000004</v>
      </c>
      <c r="C6" s="8">
        <f t="shared" si="2"/>
        <v>0.92307692307692291</v>
      </c>
      <c r="D6" s="10">
        <f t="shared" si="0"/>
        <v>0.85714285714285765</v>
      </c>
      <c r="E6" s="12">
        <f t="shared" si="3"/>
        <v>0.85168165168165166</v>
      </c>
    </row>
    <row r="7" spans="1:8">
      <c r="A7" s="21">
        <v>5</v>
      </c>
      <c r="B7" s="21">
        <f t="shared" si="1"/>
        <v>1.5000000000000004</v>
      </c>
      <c r="C7" s="8">
        <f t="shared" si="2"/>
        <v>1.0714285714285712</v>
      </c>
      <c r="D7" s="10">
        <f t="shared" si="0"/>
        <v>1.0000000000000007</v>
      </c>
      <c r="E7" s="12">
        <f t="shared" si="3"/>
        <v>0.99564720993292422</v>
      </c>
    </row>
    <row r="8" spans="1:8">
      <c r="A8" s="21">
        <v>6</v>
      </c>
      <c r="B8" s="21">
        <f t="shared" si="1"/>
        <v>1.6000000000000005</v>
      </c>
      <c r="C8" s="8">
        <f t="shared" si="2"/>
        <v>1.1999999999999997</v>
      </c>
      <c r="D8" s="10">
        <f t="shared" si="0"/>
        <v>1.1250000000000007</v>
      </c>
      <c r="E8" s="12">
        <f t="shared" si="3"/>
        <v>1.1189286903572617</v>
      </c>
    </row>
    <row r="9" spans="1:8">
      <c r="A9" s="21">
        <v>7</v>
      </c>
      <c r="B9" s="21">
        <f t="shared" si="1"/>
        <v>1.7000000000000006</v>
      </c>
      <c r="C9" s="8">
        <f t="shared" si="2"/>
        <v>1.3124999999999998</v>
      </c>
      <c r="D9" s="10">
        <f t="shared" si="0"/>
        <v>1.2352941176470595</v>
      </c>
      <c r="E9" s="12">
        <f t="shared" si="3"/>
        <v>1.2307811236382664</v>
      </c>
    </row>
    <row r="10" spans="1:8">
      <c r="A10" s="21">
        <v>8</v>
      </c>
      <c r="B10" s="21">
        <f t="shared" si="1"/>
        <v>1.8000000000000007</v>
      </c>
      <c r="C10" s="8">
        <f t="shared" si="2"/>
        <v>1.4117647058823528</v>
      </c>
      <c r="D10" s="10">
        <f t="shared" si="0"/>
        <v>1.3333333333333339</v>
      </c>
      <c r="E10" s="12">
        <f t="shared" si="3"/>
        <v>1.3270720875762891</v>
      </c>
    </row>
    <row r="11" spans="1:8">
      <c r="A11" s="21">
        <v>9</v>
      </c>
      <c r="B11" s="21">
        <f t="shared" si="1"/>
        <v>1.9000000000000008</v>
      </c>
      <c r="C11" s="8">
        <f t="shared" si="2"/>
        <v>1.4999999999999998</v>
      </c>
      <c r="D11" s="10">
        <f t="shared" si="0"/>
        <v>1.421052631578948</v>
      </c>
      <c r="E11" s="12">
        <f t="shared" si="3"/>
        <v>1.4166620027964565</v>
      </c>
    </row>
    <row r="12" spans="1:8">
      <c r="A12" s="21">
        <v>10</v>
      </c>
      <c r="B12" s="21">
        <f t="shared" si="1"/>
        <v>2.0000000000000009</v>
      </c>
      <c r="C12" s="8">
        <f t="shared" si="2"/>
        <v>1.5789473684210524</v>
      </c>
      <c r="D12" s="10">
        <f t="shared" si="0"/>
        <v>1.5000000000000007</v>
      </c>
      <c r="E12" s="12">
        <f t="shared" si="3"/>
        <v>1.493739245176662</v>
      </c>
    </row>
    <row r="13" spans="1:8">
      <c r="C13" s="7" t="s">
        <v>17</v>
      </c>
      <c r="D13" s="9" t="s">
        <v>16</v>
      </c>
      <c r="E13" s="11" t="s">
        <v>15</v>
      </c>
    </row>
  </sheetData>
  <pageMargins left="0.7" right="0.7" top="0.75" bottom="0.75" header="0.3" footer="0.3"/>
  <pageSetup paperSize="0" orientation="portrait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5"/>
  <sheetViews>
    <sheetView zoomScaleNormal="100" workbookViewId="0">
      <selection activeCell="G19" sqref="G19"/>
    </sheetView>
  </sheetViews>
  <sheetFormatPr defaultRowHeight="15"/>
  <cols>
    <col min="3" max="3" width="10.5703125" customWidth="1"/>
    <col min="4" max="4" width="12.140625" bestFit="1" customWidth="1"/>
    <col min="5" max="5" width="16.42578125" customWidth="1"/>
  </cols>
  <sheetData>
    <row r="1" spans="1:9">
      <c r="A1" s="36" t="s">
        <v>5</v>
      </c>
      <c r="B1" s="36" t="s">
        <v>6</v>
      </c>
      <c r="C1" s="36" t="s">
        <v>7</v>
      </c>
      <c r="D1" s="36"/>
      <c r="E1" s="36"/>
      <c r="F1" s="14"/>
      <c r="G1" s="14"/>
      <c r="H1" s="14"/>
      <c r="I1" s="14"/>
    </row>
    <row r="2" spans="1:9">
      <c r="A2" s="36"/>
      <c r="B2" s="36"/>
      <c r="C2" s="4" t="s">
        <v>8</v>
      </c>
      <c r="D2" s="25" t="s">
        <v>23</v>
      </c>
      <c r="E2" s="4" t="s">
        <v>9</v>
      </c>
      <c r="F2" s="15" t="s">
        <v>10</v>
      </c>
      <c r="G2" s="15" t="s">
        <v>11</v>
      </c>
      <c r="H2" s="15" t="s">
        <v>12</v>
      </c>
      <c r="I2" s="15" t="s">
        <v>13</v>
      </c>
    </row>
    <row r="3" spans="1:9">
      <c r="A3" s="4">
        <v>0</v>
      </c>
      <c r="B3" s="7">
        <v>0</v>
      </c>
      <c r="C3" s="7">
        <v>1</v>
      </c>
      <c r="D3" s="7">
        <v>1</v>
      </c>
      <c r="E3" s="4">
        <f>EXP(B3-B3^2/2)</f>
        <v>1</v>
      </c>
      <c r="F3" s="15">
        <f>$C$15*D3*(1-B3)</f>
        <v>0.05</v>
      </c>
      <c r="G3" s="15">
        <f>$C$15*(D3+F3/2)*(1-B3-$C$15/2)</f>
        <v>4.9968749999999999E-2</v>
      </c>
      <c r="H3" s="15">
        <f>$C$15*(D3+G3/2)*(1-B3-$C$15/2)</f>
        <v>4.9967988281250007E-2</v>
      </c>
      <c r="I3" s="15">
        <f>$C$15*(D3+H3)*(1-B3-$C$15)</f>
        <v>4.9873479443359382E-2</v>
      </c>
    </row>
    <row r="4" spans="1:9">
      <c r="A4" s="4">
        <v>1</v>
      </c>
      <c r="B4" s="4">
        <v>0.05</v>
      </c>
      <c r="C4" s="5">
        <f>C3+$C$15*C3*(1-B3)</f>
        <v>1.05</v>
      </c>
      <c r="D4" s="24">
        <f>D3+1/6*(F3+2*G3+2*H3+I3)</f>
        <v>1.0499578260009765</v>
      </c>
      <c r="E4" s="24">
        <f t="shared" ref="E4:E13" si="0">EXP(B4-B4^2/2)</f>
        <v>1.0499578284689943</v>
      </c>
      <c r="F4" s="6">
        <f>$C$15*D4*(1-B4)</f>
        <v>4.9872996735046388E-2</v>
      </c>
      <c r="G4" s="6">
        <f t="shared" ref="G4:G13" si="1">$C$15*(D4+F4/2)*(1-B4-$C$15/2)</f>
        <v>4.9713862502043106E-2</v>
      </c>
      <c r="H4" s="6">
        <f t="shared" ref="H4:H13" si="2">$C$15*(D4+G4/2)*(1-B4-$C$15/2)</f>
        <v>4.9710182522904912E-2</v>
      </c>
      <c r="I4" s="6">
        <f t="shared" ref="I4:I13" si="3">$C$15*(D4+H4)*(1-B4-$C$15)</f>
        <v>4.9485060383574662E-2</v>
      </c>
    </row>
    <row r="5" spans="1:9">
      <c r="A5" s="4">
        <v>2</v>
      </c>
      <c r="B5" s="4">
        <v>0.1</v>
      </c>
      <c r="C5" s="5">
        <f t="shared" ref="C5:C13" si="4">C4+$C$15*C4*(1-B4)</f>
        <v>1.0998749999999999</v>
      </c>
      <c r="D5" s="24">
        <f t="shared" ref="D5:D13" si="5">D4+1/6*(F4+2*G4+2*H4+I4)</f>
        <v>1.0996588505290628</v>
      </c>
      <c r="E5" s="24">
        <f t="shared" si="0"/>
        <v>1.0996588551261028</v>
      </c>
      <c r="F5" s="6">
        <f t="shared" ref="F5:F13" si="6">$C$15*D5*(1-B5)</f>
        <v>4.9484648273807823E-2</v>
      </c>
      <c r="G5" s="6">
        <f t="shared" si="1"/>
        <v>4.9192551391636037E-2</v>
      </c>
      <c r="H5" s="6">
        <f t="shared" si="2"/>
        <v>4.9186161772338532E-2</v>
      </c>
      <c r="I5" s="6">
        <f t="shared" si="3"/>
        <v>4.8825913022809558E-2</v>
      </c>
    </row>
    <row r="6" spans="1:9">
      <c r="A6" s="4">
        <v>3</v>
      </c>
      <c r="B6" s="4">
        <v>0.15</v>
      </c>
      <c r="C6" s="5">
        <f t="shared" si="4"/>
        <v>1.149369375</v>
      </c>
      <c r="D6" s="24">
        <f t="shared" si="5"/>
        <v>1.1488368484664906</v>
      </c>
      <c r="E6" s="24">
        <f t="shared" si="0"/>
        <v>1.1488368548857399</v>
      </c>
      <c r="F6" s="6">
        <f t="shared" si="6"/>
        <v>4.8825566059825853E-2</v>
      </c>
      <c r="G6" s="6">
        <f t="shared" si="1"/>
        <v>4.8396547299226648E-2</v>
      </c>
      <c r="H6" s="6">
        <f t="shared" si="2"/>
        <v>4.8387698787289282E-2</v>
      </c>
      <c r="I6" s="6">
        <f t="shared" si="3"/>
        <v>4.7888981890151193E-2</v>
      </c>
    </row>
    <row r="7" spans="1:9">
      <c r="A7" s="4">
        <v>4</v>
      </c>
      <c r="B7" s="4">
        <v>0.2</v>
      </c>
      <c r="C7" s="5">
        <f t="shared" si="4"/>
        <v>1.1982175734375</v>
      </c>
      <c r="D7" s="24">
        <f t="shared" si="5"/>
        <v>1.1972173551536587</v>
      </c>
      <c r="E7" s="24">
        <f t="shared" si="0"/>
        <v>1.1972173631218102</v>
      </c>
      <c r="F7" s="6">
        <f t="shared" si="6"/>
        <v>4.7888694206146352E-2</v>
      </c>
      <c r="G7" s="6">
        <f t="shared" si="1"/>
        <v>4.7320015962448357E-2</v>
      </c>
      <c r="H7" s="6">
        <f t="shared" si="2"/>
        <v>4.7308997821476712E-2</v>
      </c>
      <c r="I7" s="6">
        <f t="shared" si="3"/>
        <v>4.666973823656758E-2</v>
      </c>
    </row>
    <row r="8" spans="1:9">
      <c r="A8" s="4">
        <v>5</v>
      </c>
      <c r="B8" s="4">
        <v>0.25</v>
      </c>
      <c r="C8" s="5">
        <f t="shared" si="4"/>
        <v>1.246146276375</v>
      </c>
      <c r="D8" s="24">
        <f t="shared" si="5"/>
        <v>1.2445200984887528</v>
      </c>
      <c r="E8" s="24">
        <f t="shared" si="0"/>
        <v>1.2445201077660952</v>
      </c>
      <c r="F8" s="6">
        <f t="shared" si="6"/>
        <v>4.6669503693328229E-2</v>
      </c>
      <c r="G8" s="6">
        <f t="shared" si="1"/>
        <v>4.5959738324658862E-2</v>
      </c>
      <c r="H8" s="6">
        <f t="shared" si="2"/>
        <v>4.5946873827351735E-2</v>
      </c>
      <c r="I8" s="6">
        <f t="shared" si="3"/>
        <v>4.5166344031063649E-2</v>
      </c>
    </row>
    <row r="9" spans="1:9">
      <c r="A9" s="4">
        <v>6</v>
      </c>
      <c r="B9" s="4">
        <v>0.3</v>
      </c>
      <c r="C9" s="5">
        <f t="shared" si="4"/>
        <v>1.2928767617390624</v>
      </c>
      <c r="D9" s="24">
        <f t="shared" si="5"/>
        <v>1.2904616104934883</v>
      </c>
      <c r="E9" s="24">
        <f t="shared" si="0"/>
        <v>1.2904616208728898</v>
      </c>
      <c r="F9" s="6">
        <f t="shared" si="6"/>
        <v>4.5166156367272087E-2</v>
      </c>
      <c r="G9" s="6">
        <f t="shared" si="1"/>
        <v>4.4315258242852942E-2</v>
      </c>
      <c r="H9" s="6">
        <f t="shared" si="2"/>
        <v>4.4300899337003367E-2</v>
      </c>
      <c r="I9" s="6">
        <f t="shared" si="3"/>
        <v>4.3379781569490974E-2</v>
      </c>
    </row>
    <row r="10" spans="1:9">
      <c r="A10" s="4">
        <v>7</v>
      </c>
      <c r="B10" s="4">
        <v>0.35</v>
      </c>
      <c r="C10" s="5">
        <f t="shared" si="4"/>
        <v>1.3381274483999297</v>
      </c>
      <c r="D10" s="24">
        <f t="shared" si="5"/>
        <v>1.3347579860095675</v>
      </c>
      <c r="E10" s="24">
        <f t="shared" si="0"/>
        <v>1.3347579973145163</v>
      </c>
      <c r="F10" s="6">
        <f t="shared" si="6"/>
        <v>4.3379634545310949E-2</v>
      </c>
      <c r="G10" s="6">
        <f t="shared" si="1"/>
        <v>4.2388993852569473E-2</v>
      </c>
      <c r="H10" s="6">
        <f t="shared" si="2"/>
        <v>4.237351509174539E-2</v>
      </c>
      <c r="I10" s="6">
        <f t="shared" si="3"/>
        <v>4.1313945033039388E-2</v>
      </c>
    </row>
    <row r="11" spans="1:9">
      <c r="A11" s="4">
        <v>8</v>
      </c>
      <c r="B11" s="4">
        <v>0.4</v>
      </c>
      <c r="C11" s="5">
        <f t="shared" si="4"/>
        <v>1.3816165904729274</v>
      </c>
      <c r="D11" s="24">
        <f t="shared" si="5"/>
        <v>1.3771277522540641</v>
      </c>
      <c r="E11" s="24">
        <f t="shared" si="0"/>
        <v>1.3771277643359572</v>
      </c>
      <c r="F11" s="6">
        <f t="shared" si="6"/>
        <v>4.1313832567621923E-2</v>
      </c>
      <c r="G11" s="6">
        <f t="shared" si="1"/>
        <v>4.0186309220463914E-2</v>
      </c>
      <c r="H11" s="6">
        <f t="shared" si="2"/>
        <v>4.0170101072348509E-2</v>
      </c>
      <c r="I11" s="6">
        <f t="shared" si="3"/>
        <v>3.8975690966476344E-2</v>
      </c>
    </row>
    <row r="12" spans="1:9">
      <c r="A12" s="4">
        <v>9</v>
      </c>
      <c r="B12" s="4">
        <v>0.45</v>
      </c>
      <c r="C12" s="5">
        <f t="shared" si="4"/>
        <v>1.4230650881871152</v>
      </c>
      <c r="D12" s="24">
        <f t="shared" si="5"/>
        <v>1.4172948096073514</v>
      </c>
      <c r="E12" s="24">
        <f t="shared" si="0"/>
        <v>1.4172948223422464</v>
      </c>
      <c r="F12" s="6">
        <f t="shared" si="6"/>
        <v>3.8975607264202169E-2</v>
      </c>
      <c r="G12" s="6">
        <f t="shared" si="1"/>
        <v>3.7715543597535629E-2</v>
      </c>
      <c r="H12" s="6">
        <f t="shared" si="2"/>
        <v>3.7699005261910633E-2</v>
      </c>
      <c r="I12" s="6">
        <f t="shared" si="3"/>
        <v>3.6374845371731551E-2</v>
      </c>
    </row>
    <row r="13" spans="1:9">
      <c r="A13" s="4">
        <v>10</v>
      </c>
      <c r="B13" s="4">
        <v>0.5</v>
      </c>
      <c r="C13" s="5">
        <f t="shared" si="4"/>
        <v>1.4621993781122609</v>
      </c>
      <c r="D13" s="24">
        <f t="shared" si="5"/>
        <v>1.4549914013331557</v>
      </c>
      <c r="E13" s="24">
        <f t="shared" si="0"/>
        <v>1.4549914146182013</v>
      </c>
      <c r="F13" s="6">
        <f t="shared" si="6"/>
        <v>3.6374785033328895E-2</v>
      </c>
      <c r="G13" s="6">
        <f t="shared" si="1"/>
        <v>3.498799635393323E-2</v>
      </c>
      <c r="H13" s="6">
        <f t="shared" si="2"/>
        <v>3.4971528238365406E-2</v>
      </c>
      <c r="I13" s="6">
        <f t="shared" si="3"/>
        <v>3.3524165915359228E-2</v>
      </c>
    </row>
    <row r="15" spans="1:9">
      <c r="B15" s="13" t="s">
        <v>1</v>
      </c>
      <c r="C15" s="13">
        <v>0.05</v>
      </c>
    </row>
  </sheetData>
  <mergeCells count="3">
    <mergeCell ref="B1:B2"/>
    <mergeCell ref="C1:E1"/>
    <mergeCell ref="A1:A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Метод Эйлера</vt:lpstr>
      <vt:lpstr>2 пример Барон</vt:lpstr>
      <vt:lpstr>2 пример+уточнён мет</vt:lpstr>
      <vt:lpstr>Рунге-Кутты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user0307</dc:creator>
  <cp:lastModifiedBy>user0307</cp:lastModifiedBy>
  <dcterms:created xsi:type="dcterms:W3CDTF">2021-12-13T08:18:23Z</dcterms:created>
  <dcterms:modified xsi:type="dcterms:W3CDTF">2025-12-02T13:22:24Z</dcterms:modified>
</cp:coreProperties>
</file>